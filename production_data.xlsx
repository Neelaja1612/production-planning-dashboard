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ec55fb1d5cdba20/Desktop/"/>
    </mc:Choice>
  </mc:AlternateContent>
  <xr:revisionPtr revIDLastSave="0" documentId="8_{492115E4-078E-4353-9FC8-1C8661D8670F}" xr6:coauthVersionLast="47" xr6:coauthVersionMax="47" xr10:uidLastSave="{00000000-0000-0000-0000-000000000000}"/>
  <bookViews>
    <workbookView xWindow="-110" yWindow="-110" windowWidth="19420" windowHeight="10300" xr2:uid="{3EB93355-A194-4ECC-BADC-EE87A3AA4E0F}"/>
  </bookViews>
  <sheets>
    <sheet name="Dashboard" sheetId="3" r:id="rId1"/>
    <sheet name="pivot-table" sheetId="5" r:id="rId2"/>
    <sheet name="production-data" sheetId="1" r:id="rId3"/>
    <sheet name="Inventory_Data" sheetId="2" r:id="rId4"/>
  </sheets>
  <calcPr calcId="191029"/>
  <pivotCaches>
    <pivotCache cacheId="7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1" l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" i="1"/>
</calcChain>
</file>

<file path=xl/sharedStrings.xml><?xml version="1.0" encoding="utf-8"?>
<sst xmlns="http://schemas.openxmlformats.org/spreadsheetml/2006/main" count="78" uniqueCount="29">
  <si>
    <t>Order_ID</t>
  </si>
  <si>
    <t>Material</t>
  </si>
  <si>
    <t>Planned_Qty</t>
  </si>
  <si>
    <t>Produced_Qty</t>
  </si>
  <si>
    <t>Delay_Days</t>
  </si>
  <si>
    <t>Plant</t>
  </si>
  <si>
    <t>Steel A</t>
  </si>
  <si>
    <t>A</t>
  </si>
  <si>
    <t>Steel B</t>
  </si>
  <si>
    <t>B</t>
  </si>
  <si>
    <t>Steel C</t>
  </si>
  <si>
    <t>Steel D</t>
  </si>
  <si>
    <t>C</t>
  </si>
  <si>
    <t>Stock</t>
  </si>
  <si>
    <t>Min_Stock</t>
  </si>
  <si>
    <t>Max_Stock</t>
  </si>
  <si>
    <t>Production Efficiency</t>
  </si>
  <si>
    <t>Delay status</t>
  </si>
  <si>
    <t>Row Labels</t>
  </si>
  <si>
    <t>Grand Total</t>
  </si>
  <si>
    <t>Sum of Produced_Qty</t>
  </si>
  <si>
    <t>Sum of Planned_Qty</t>
  </si>
  <si>
    <t>Sum of Order_ID</t>
  </si>
  <si>
    <t>Sum of Production Efficiency</t>
  </si>
  <si>
    <t xml:space="preserve"> [ Delay Pie Chart ]</t>
  </si>
  <si>
    <t xml:space="preserve">   [ Key Numbers ]</t>
  </si>
  <si>
    <t xml:space="preserve">[ Efficiency Chart ]    </t>
  </si>
  <si>
    <t xml:space="preserve">[ Production by Plant ]  </t>
  </si>
  <si>
    <t>total order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</si>
</sst>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0" pivotButton="1" applyAlignment="1">
      <alignment horizontal="left"/>
    </xf>
    <xf numFmtId="0" fontId="0" fillId="0" borderId="0" xfId="0" applyNumberFormat="1" applyAlignment="1">
      <alignment horizontal="left"/>
    </xf>
    <xf numFmtId="0" fontId="1" fillId="2" borderId="2" xfId="0" applyFont="1" applyFill="1" applyBorder="1" applyAlignment="1">
      <alignment horizontal="center" vertical="center" wrapText="1"/>
    </xf>
    <xf numFmtId="0" fontId="0" fillId="2" borderId="0" xfId="0" applyFill="1"/>
  </cellXfs>
  <cellStyles count="1">
    <cellStyle name="Normal" xfId="0" builtinId="0"/>
  </cellStyles>
  <dxfs count="18"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[production_data.xlsx]pivot-table!PivotTable1: Production by Plant</c:name>
    <c:fmtId val="7"/>
  </c:pivotSource>
  <c:chart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9.4580927384076988E-2"/>
          <c:y val="0.13323855351414407"/>
          <c:w val="0.5946496062992126"/>
          <c:h val="0.6681605424321959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'pivot-table'!$B$3</c:f>
              <c:strCache>
                <c:ptCount val="1"/>
                <c:pt idx="0">
                  <c:v>Sum of Produced_Qty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'pivot-table'!$A$4:$A$7</c:f>
              <c:strCache>
                <c:ptCount val="3"/>
                <c:pt idx="0">
                  <c:v>A</c:v>
                </c:pt>
                <c:pt idx="1">
                  <c:v>B</c:v>
                </c:pt>
                <c:pt idx="2">
                  <c:v>C</c:v>
                </c:pt>
              </c:strCache>
            </c:strRef>
          </c:cat>
          <c:val>
            <c:numRef>
              <c:f>'pivot-table'!$B$4:$B$7</c:f>
              <c:numCache>
                <c:formatCode>General</c:formatCode>
                <c:ptCount val="3"/>
                <c:pt idx="0">
                  <c:v>6220</c:v>
                </c:pt>
                <c:pt idx="1">
                  <c:v>5820</c:v>
                </c:pt>
                <c:pt idx="2">
                  <c:v>5100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4A-4E23-9C8F-286BADDD9DD4}"/>
            </c:ext>
          </c:extLst>
        </c:ser>
        <c:ser>
          <c:idx val="1"/>
          <c:order val="1"/>
          <c:tx>
            <c:strRef>
              <c:f>'pivot-table'!$C$3</c:f>
              <c:strCache>
                <c:ptCount val="1"/>
                <c:pt idx="0">
                  <c:v>Sum of Planned_Qty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'pivot-table'!$A$4:$A$7</c:f>
              <c:strCache>
                <c:ptCount val="3"/>
                <c:pt idx="0">
                  <c:v>A</c:v>
                </c:pt>
                <c:pt idx="1">
                  <c:v>B</c:v>
                </c:pt>
                <c:pt idx="2">
                  <c:v>C</c:v>
                </c:pt>
              </c:strCache>
            </c:strRef>
          </c:cat>
          <c:val>
            <c:numRef>
              <c:f>'pivot-table'!$C$4:$C$7</c:f>
              <c:numCache>
                <c:formatCode>General</c:formatCode>
                <c:ptCount val="3"/>
                <c:pt idx="0">
                  <c:v>6720</c:v>
                </c:pt>
                <c:pt idx="1">
                  <c:v>6090</c:v>
                </c:pt>
                <c:pt idx="2">
                  <c:v>5360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04A-4E23-9C8F-286BADDD9D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229705823"/>
        <c:axId val="229703423"/>
      </c:barChart>
      <c:catAx>
        <c:axId val="2297058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9703423"/>
        <c:crosses val="autoZero"/>
        <c:auto val="1"/>
        <c:lblAlgn val="ctr"/>
        <c:lblOffset val="100"/>
        <c:noMultiLvlLbl val="0"/>
      </c:catAx>
      <c:valAx>
        <c:axId val="229703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97058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[production_data.xlsx]pivot-table!PivotTable2: Delay Status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9"/>
        <c:spPr>
          <a:gradFill rotWithShape="1">
            <a:gsLst>
              <a:gs pos="0">
                <a:schemeClr val="accent3">
                  <a:satMod val="103000"/>
                  <a:lumMod val="102000"/>
                  <a:tint val="94000"/>
                </a:schemeClr>
              </a:gs>
              <a:gs pos="50000">
                <a:schemeClr val="accent3">
                  <a:satMod val="110000"/>
                  <a:lumMod val="100000"/>
                  <a:shade val="100000"/>
                </a:schemeClr>
              </a:gs>
              <a:gs pos="100000">
                <a:schemeClr val="accent3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0"/>
        <c:spPr>
          <a:gradFill rotWithShape="1">
            <a:gsLst>
              <a:gs pos="0">
                <a:schemeClr val="accent4">
                  <a:satMod val="103000"/>
                  <a:lumMod val="102000"/>
                  <a:tint val="94000"/>
                </a:schemeClr>
              </a:gs>
              <a:gs pos="50000">
                <a:schemeClr val="accent4">
                  <a:satMod val="110000"/>
                  <a:lumMod val="100000"/>
                  <a:shade val="100000"/>
                </a:schemeClr>
              </a:gs>
              <a:gs pos="100000">
                <a:schemeClr val="accent4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'pivot-table'!$B$18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4ADA-4DF0-9213-ACAF60AD065C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4ADA-4DF0-9213-ACAF60AD065C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4ADA-4DF0-9213-ACAF60AD065C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4ADA-4DF0-9213-ACAF60AD065C}"/>
              </c:ext>
            </c:extLst>
          </c:dPt>
          <c:cat>
            <c:strRef>
              <c:f>'pivot-table'!$A$19:$A$23</c:f>
              <c:strCache>
                <c:ptCount val="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</c:strCache>
            </c:strRef>
          </c:cat>
          <c:val>
            <c:numRef>
              <c:f>'pivot-table'!$B$19:$B$23</c:f>
              <c:numCache>
                <c:formatCode>General</c:formatCode>
                <c:ptCount val="4"/>
                <c:pt idx="0">
                  <c:v>444</c:v>
                </c:pt>
                <c:pt idx="1">
                  <c:v>771</c:v>
                </c:pt>
                <c:pt idx="2">
                  <c:v>777</c:v>
                </c:pt>
                <c:pt idx="3">
                  <c:v>218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ADA-4DF0-9213-ACAF60AD06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[production_data.xlsx]pivot-table!PivotTable: Material Performance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'pivot-table'!$B$11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'pivot-table'!$A$12:$A$16</c:f>
              <c:strCache>
                <c:ptCount val="4"/>
                <c:pt idx="0">
                  <c:v>Steel A</c:v>
                </c:pt>
                <c:pt idx="1">
                  <c:v>Steel B</c:v>
                </c:pt>
                <c:pt idx="2">
                  <c:v>Steel C</c:v>
                </c:pt>
                <c:pt idx="3">
                  <c:v>Steel D</c:v>
                </c:pt>
              </c:strCache>
            </c:strRef>
          </c:cat>
          <c:val>
            <c:numRef>
              <c:f>'pivot-table'!$B$12:$B$16</c:f>
              <c:numCache>
                <c:formatCode>General</c:formatCode>
                <c:ptCount val="4"/>
                <c:pt idx="0">
                  <c:v>-170</c:v>
                </c:pt>
                <c:pt idx="1">
                  <c:v>-160</c:v>
                </c:pt>
                <c:pt idx="2">
                  <c:v>-530</c:v>
                </c:pt>
                <c:pt idx="3">
                  <c:v>-170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008-4E05-BF7D-7EAE91A89A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229733663"/>
        <c:axId val="229717343"/>
      </c:barChart>
      <c:catAx>
        <c:axId val="2297336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9717343"/>
        <c:crosses val="autoZero"/>
        <c:auto val="1"/>
        <c:lblAlgn val="ctr"/>
        <c:lblOffset val="100"/>
        <c:noMultiLvlLbl val="0"/>
      </c:catAx>
      <c:valAx>
        <c:axId val="2297173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97336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596900</xdr:colOff>
      <xdr:row>2</xdr:row>
      <xdr:rowOff>63500</xdr:rowOff>
    </xdr:from>
    <xdr:to>
      <xdr:col>8</xdr:col>
      <xdr:colOff>292100</xdr:colOff>
      <xdr:row>17</xdr:row>
      <xdr:rowOff>44450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B96B66C-F549-4572-8992-5CA508F2DEC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571500</xdr:colOff>
      <xdr:row>2</xdr:row>
      <xdr:rowOff>69850</xdr:rowOff>
    </xdr:from>
    <xdr:to>
      <xdr:col>18</xdr:col>
      <xdr:colOff>266700</xdr:colOff>
      <xdr:row>17</xdr:row>
      <xdr:rowOff>50800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96BFB7E-6727-456D-ACA1-6E229788F77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20</xdr:row>
      <xdr:rowOff>0</xdr:rowOff>
    </xdr:from>
    <xdr:to>
      <xdr:col>8</xdr:col>
      <xdr:colOff>304800</xdr:colOff>
      <xdr:row>34</xdr:row>
      <xdr:rowOff>165100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FAEC8C6-BA96-4868-95D7-2F0E6A443BE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oneCellAnchor>
    <xdr:from>
      <xdr:col>10</xdr:col>
      <xdr:colOff>603250</xdr:colOff>
      <xdr:row>19</xdr:row>
      <xdr:rowOff>120650</xdr:rowOff>
    </xdr:from>
    <xdr:ext cx="1822450" cy="86360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3221827C-AEBC-9327-5061-3044B69DA6D4}"/>
            </a:ext>
          </a:extLst>
        </xdr:cNvPr>
        <xdr:cNvSpPr txBox="1"/>
      </xdr:nvSpPr>
      <xdr:spPr>
        <a:xfrm>
          <a:off x="6699250" y="3619500"/>
          <a:ext cx="1822450" cy="8636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l"/>
          <a:r>
            <a:rPr lang="en-IN" sz="1200"/>
            <a:t>📦 Total Orders: 20  </a:t>
          </a:r>
        </a:p>
        <a:p>
          <a:r>
            <a:rPr lang="en-IN" sz="1200"/>
            <a:t>⏱️ </a:t>
          </a:r>
          <a:r>
            <a:rPr lang="en-IN" sz="1200">
              <a:ln>
                <a:noFill/>
              </a:ln>
            </a:rPr>
            <a:t>Delayed</a:t>
          </a:r>
          <a:r>
            <a:rPr lang="en-IN" sz="1200"/>
            <a:t> Orders: 8  </a:t>
          </a:r>
        </a:p>
        <a:p>
          <a:r>
            <a:rPr lang="en-IN" sz="1200"/>
            <a:t>📈 Avg Efficiency: 92%</a:t>
          </a:r>
        </a:p>
        <a:p>
          <a:endParaRPr lang="en-IN" sz="1200"/>
        </a:p>
        <a:p>
          <a:endParaRPr lang="en-IN" sz="1200"/>
        </a:p>
        <a:p>
          <a:endParaRPr lang="en-IN" sz="1200"/>
        </a:p>
      </xdr:txBody>
    </xdr:sp>
    <xdr:clientData/>
  </xdr:one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eelaja sachan" refreshedDate="46110.991087847222" createdVersion="8" refreshedVersion="8" minRefreshableVersion="3" recordCount="20" xr:uid="{837436F1-6A8E-4F17-AB99-55B1171F92FA}">
  <cacheSource type="worksheet">
    <worksheetSource ref="A1:H21" sheet="production-data"/>
  </cacheSource>
  <cacheFields count="8">
    <cacheField name="Order_ID" numFmtId="0">
      <sharedItems containsSemiMixedTypes="0" containsString="0" containsNumber="1" containsInteger="1" minValue="101" maxValue="120"/>
    </cacheField>
    <cacheField name="Material" numFmtId="0">
      <sharedItems count="4">
        <s v="Steel A"/>
        <s v="Steel B"/>
        <s v="Steel C"/>
        <s v="Steel D"/>
      </sharedItems>
    </cacheField>
    <cacheField name="Planned_Qty" numFmtId="0">
      <sharedItems containsSemiMixedTypes="0" containsString="0" containsNumber="1" containsInteger="1" minValue="600" maxValue="1300"/>
    </cacheField>
    <cacheField name="Produced_Qty" numFmtId="0">
      <sharedItems containsSemiMixedTypes="0" containsString="0" containsNumber="1" containsInteger="1" minValue="580" maxValue="1200"/>
    </cacheField>
    <cacheField name="Delay_Days" numFmtId="0">
      <sharedItems containsSemiMixedTypes="0" containsString="0" containsNumber="1" containsInteger="1" minValue="0" maxValue="3" count="4">
        <n v="2"/>
        <n v="0"/>
        <n v="3"/>
        <n v="1"/>
      </sharedItems>
    </cacheField>
    <cacheField name="Plant" numFmtId="0">
      <sharedItems count="3">
        <s v="A"/>
        <s v="B"/>
        <s v="C"/>
      </sharedItems>
    </cacheField>
    <cacheField name="Production Efficiency" numFmtId="0">
      <sharedItems containsSemiMixedTypes="0" containsString="0" containsNumber="1" containsInteger="1" minValue="-200" maxValue="0"/>
    </cacheField>
    <cacheField name="Delay statu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">
  <r>
    <n v="101"/>
    <x v="0"/>
    <n v="1000"/>
    <n v="950"/>
    <x v="0"/>
    <x v="0"/>
    <n v="-50"/>
    <s v="Delayed"/>
  </r>
  <r>
    <n v="102"/>
    <x v="1"/>
    <n v="800"/>
    <n v="800"/>
    <x v="1"/>
    <x v="1"/>
    <n v="0"/>
    <s v="ON TIME"/>
  </r>
  <r>
    <n v="103"/>
    <x v="2"/>
    <n v="1200"/>
    <n v="1000"/>
    <x v="2"/>
    <x v="0"/>
    <n v="-200"/>
    <s v="Delayed"/>
  </r>
  <r>
    <n v="104"/>
    <x v="3"/>
    <n v="600"/>
    <n v="580"/>
    <x v="3"/>
    <x v="2"/>
    <n v="-20"/>
    <s v="Delayed"/>
  </r>
  <r>
    <n v="105"/>
    <x v="0"/>
    <n v="900"/>
    <n v="870"/>
    <x v="3"/>
    <x v="1"/>
    <n v="-30"/>
    <s v="Delayed"/>
  </r>
  <r>
    <n v="106"/>
    <x v="1"/>
    <n v="750"/>
    <n v="700"/>
    <x v="0"/>
    <x v="0"/>
    <n v="-50"/>
    <s v="Delayed"/>
  </r>
  <r>
    <n v="107"/>
    <x v="2"/>
    <n v="1100"/>
    <n v="1050"/>
    <x v="3"/>
    <x v="2"/>
    <n v="-50"/>
    <s v="Delayed"/>
  </r>
  <r>
    <n v="108"/>
    <x v="3"/>
    <n v="650"/>
    <n v="600"/>
    <x v="0"/>
    <x v="1"/>
    <n v="-50"/>
    <s v="Delayed"/>
  </r>
  <r>
    <n v="109"/>
    <x v="0"/>
    <n v="1000"/>
    <n v="980"/>
    <x v="1"/>
    <x v="0"/>
    <n v="-20"/>
    <s v="ON TIME"/>
  </r>
  <r>
    <n v="110"/>
    <x v="1"/>
    <n v="850"/>
    <n v="800"/>
    <x v="3"/>
    <x v="2"/>
    <n v="-50"/>
    <s v="Delayed"/>
  </r>
  <r>
    <n v="111"/>
    <x v="2"/>
    <n v="1300"/>
    <n v="1200"/>
    <x v="0"/>
    <x v="1"/>
    <n v="-100"/>
    <s v="Delayed"/>
  </r>
  <r>
    <n v="112"/>
    <x v="3"/>
    <n v="700"/>
    <n v="650"/>
    <x v="0"/>
    <x v="0"/>
    <n v="-50"/>
    <s v="Delayed"/>
  </r>
  <r>
    <n v="113"/>
    <x v="0"/>
    <n v="950"/>
    <n v="900"/>
    <x v="3"/>
    <x v="2"/>
    <n v="-50"/>
    <s v="Delayed"/>
  </r>
  <r>
    <n v="114"/>
    <x v="1"/>
    <n v="780"/>
    <n v="750"/>
    <x v="3"/>
    <x v="1"/>
    <n v="-30"/>
    <s v="Delayed"/>
  </r>
  <r>
    <n v="115"/>
    <x v="2"/>
    <n v="1250"/>
    <n v="1150"/>
    <x v="2"/>
    <x v="0"/>
    <n v="-100"/>
    <s v="Delayed"/>
  </r>
  <r>
    <n v="116"/>
    <x v="3"/>
    <n v="680"/>
    <n v="670"/>
    <x v="1"/>
    <x v="2"/>
    <n v="-10"/>
    <s v="ON TIME"/>
  </r>
  <r>
    <n v="117"/>
    <x v="0"/>
    <n v="1020"/>
    <n v="1000"/>
    <x v="1"/>
    <x v="1"/>
    <n v="-20"/>
    <s v="ON TIME"/>
  </r>
  <r>
    <n v="118"/>
    <x v="1"/>
    <n v="820"/>
    <n v="790"/>
    <x v="3"/>
    <x v="0"/>
    <n v="-30"/>
    <s v="Delayed"/>
  </r>
  <r>
    <n v="119"/>
    <x v="2"/>
    <n v="1180"/>
    <n v="1100"/>
    <x v="0"/>
    <x v="2"/>
    <n v="-80"/>
    <s v="Delayed"/>
  </r>
  <r>
    <n v="120"/>
    <x v="3"/>
    <n v="640"/>
    <n v="600"/>
    <x v="0"/>
    <x v="1"/>
    <n v="-40"/>
    <s v="Delayed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16810A0-EF63-4D26-AE3D-1F01B8C05A1D}" name="PivotTable: Material Performance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11:B16" firstHeaderRow="1" firstDataRow="1" firstDataCol="1"/>
  <pivotFields count="8">
    <pivotField showAll="0"/>
    <pivotField axis="axisRow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dataField="1" showAll="0"/>
    <pivotField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Production Efficiency" fld="6" baseField="0" baseItem="0"/>
  </dataFields>
  <formats count="6">
    <format dxfId="17">
      <pivotArea type="all" dataOnly="0" outline="0" fieldPosition="0"/>
    </format>
    <format dxfId="16">
      <pivotArea outline="0" collapsedLevelsAreSubtotals="1" fieldPosition="0"/>
    </format>
    <format dxfId="15">
      <pivotArea field="1" type="button" dataOnly="0" labelOnly="1" outline="0" axis="axisRow" fieldPosition="0"/>
    </format>
    <format dxfId="14">
      <pivotArea dataOnly="0" labelOnly="1" fieldPosition="0">
        <references count="1">
          <reference field="1" count="0"/>
        </references>
      </pivotArea>
    </format>
    <format dxfId="13">
      <pivotArea dataOnly="0" labelOnly="1" grandRow="1" outline="0" fieldPosition="0"/>
    </format>
    <format dxfId="12">
      <pivotArea dataOnly="0" labelOnly="1" outline="0" axis="axisValues" fieldPosition="0"/>
    </format>
  </format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6C16ECE-EBFB-4208-BB6A-5A8CA3BF9EC4}" name="PivotTable2: Delay Status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18:B23" firstHeaderRow="1" firstDataRow="1" firstDataCol="1"/>
  <pivotFields count="8">
    <pivotField dataField="1" showAll="0"/>
    <pivotField showAll="0"/>
    <pivotField showAll="0"/>
    <pivotField showAll="0"/>
    <pivotField axis="axisRow" showAll="0">
      <items count="5">
        <item x="1"/>
        <item x="3"/>
        <item x="0"/>
        <item x="2"/>
        <item t="default"/>
      </items>
    </pivotField>
    <pivotField showAll="0"/>
    <pivotField showAll="0"/>
    <pivotField showAl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Order_ID" fld="0" baseField="0" baseItem="0"/>
  </dataFields>
  <formats count="6">
    <format dxfId="11">
      <pivotArea type="all" dataOnly="0" outline="0" fieldPosition="0"/>
    </format>
    <format dxfId="10">
      <pivotArea outline="0" collapsedLevelsAreSubtotals="1" fieldPosition="0"/>
    </format>
    <format dxfId="9">
      <pivotArea field="4" type="button" dataOnly="0" labelOnly="1" outline="0" axis="axisRow" fieldPosition="0"/>
    </format>
    <format dxfId="8">
      <pivotArea dataOnly="0" labelOnly="1" fieldPosition="0">
        <references count="1">
          <reference field="4" count="0"/>
        </references>
      </pivotArea>
    </format>
    <format dxfId="7">
      <pivotArea dataOnly="0" labelOnly="1" grandRow="1" outline="0" fieldPosition="0"/>
    </format>
    <format dxfId="6">
      <pivotArea dataOnly="0" labelOnly="1" outline="0" axis="axisValues" fieldPosition="0"/>
    </format>
  </formats>
  <chartFormats count="5">
    <chartFormat chart="3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7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3" format="8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3" format="9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3" format="10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AC3F881-0DBB-409E-83C5-98AFDC4E624E}" name="PivotTable1: Production by Plant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A3:C7" firstHeaderRow="0" firstDataRow="1" firstDataCol="1"/>
  <pivotFields count="8">
    <pivotField showAll="0"/>
    <pivotField showAll="0"/>
    <pivotField dataField="1" showAll="0"/>
    <pivotField dataField="1"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</pivotFields>
  <rowFields count="1">
    <field x="5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Produced_Qty" fld="3" baseField="0" baseItem="0"/>
    <dataField name="Sum of Planned_Qty" fld="2" baseField="0" baseItem="0"/>
  </dataFields>
  <formats count="6">
    <format dxfId="5">
      <pivotArea type="all" dataOnly="0" outline="0" fieldPosition="0"/>
    </format>
    <format dxfId="4">
      <pivotArea outline="0" collapsedLevelsAreSubtotals="1" fieldPosition="0"/>
    </format>
    <format dxfId="3">
      <pivotArea field="5" type="button" dataOnly="0" labelOnly="1" outline="0" axis="axisRow" fieldPosition="0"/>
    </format>
    <format dxfId="2">
      <pivotArea dataOnly="0" labelOnly="1" fieldPosition="0">
        <references count="1">
          <reference field="5" count="0"/>
        </references>
      </pivotArea>
    </format>
    <format dxfId="1">
      <pivotArea dataOnly="0" labelOnly="1" grandRow="1" outline="0" fieldPosition="0"/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hartFormats count="2">
    <chartFormat chart="7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EB353E-1114-4949-8F4D-DED7518B6AEA}">
  <dimension ref="B1:L19"/>
  <sheetViews>
    <sheetView tabSelected="1" workbookViewId="0">
      <selection activeCell="L19" sqref="L19"/>
    </sheetView>
  </sheetViews>
  <sheetFormatPr defaultRowHeight="14.5" x14ac:dyDescent="0.35"/>
  <cols>
    <col min="1" max="1" width="9.1796875" customWidth="1"/>
    <col min="2" max="2" width="19.08984375" bestFit="1" customWidth="1"/>
  </cols>
  <sheetData>
    <row r="1" spans="2:12" x14ac:dyDescent="0.35">
      <c r="B1" s="12" t="s">
        <v>27</v>
      </c>
      <c r="L1" s="12" t="s">
        <v>24</v>
      </c>
    </row>
    <row r="19" spans="2:12" x14ac:dyDescent="0.35">
      <c r="B19" s="12" t="s">
        <v>26</v>
      </c>
      <c r="L19" s="12" t="s">
        <v>25</v>
      </c>
    </row>
  </sheetData>
  <pageMargins left="0.7" right="0.7" top="0.75" bottom="0.75" header="0.3" footer="0.3"/>
  <headerFooter>
    <oddFooter>&amp;C_x000D_&amp;1#&amp;"Aptos"&amp;8&amp;K000000  ArcelorMittal proprietary information – all rights reserved for all countries.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E88B4-E78D-4BC1-A7D4-330760A45886}">
  <dimension ref="A3:C23"/>
  <sheetViews>
    <sheetView workbookViewId="0">
      <selection activeCell="B12" sqref="A11:B16"/>
    </sheetView>
  </sheetViews>
  <sheetFormatPr defaultRowHeight="14.5" x14ac:dyDescent="0.35"/>
  <cols>
    <col min="1" max="1" width="12.453125" style="8" bestFit="1" customWidth="1"/>
    <col min="2" max="2" width="25.26953125" style="8" bestFit="1" customWidth="1"/>
    <col min="3" max="3" width="17.7265625" style="8" bestFit="1" customWidth="1"/>
    <col min="4" max="16384" width="8.7265625" style="8"/>
  </cols>
  <sheetData>
    <row r="3" spans="1:3" x14ac:dyDescent="0.35">
      <c r="A3" s="9" t="s">
        <v>18</v>
      </c>
      <c r="B3" s="8" t="s">
        <v>20</v>
      </c>
      <c r="C3" s="8" t="s">
        <v>21</v>
      </c>
    </row>
    <row r="4" spans="1:3" x14ac:dyDescent="0.35">
      <c r="A4" s="8" t="s">
        <v>7</v>
      </c>
      <c r="B4" s="10">
        <v>6220</v>
      </c>
      <c r="C4" s="10">
        <v>6720</v>
      </c>
    </row>
    <row r="5" spans="1:3" x14ac:dyDescent="0.35">
      <c r="A5" s="8" t="s">
        <v>9</v>
      </c>
      <c r="B5" s="10">
        <v>5820</v>
      </c>
      <c r="C5" s="10">
        <v>6090</v>
      </c>
    </row>
    <row r="6" spans="1:3" x14ac:dyDescent="0.35">
      <c r="A6" s="8" t="s">
        <v>12</v>
      </c>
      <c r="B6" s="10">
        <v>5100</v>
      </c>
      <c r="C6" s="10">
        <v>5360</v>
      </c>
    </row>
    <row r="7" spans="1:3" x14ac:dyDescent="0.35">
      <c r="A7" s="8" t="s">
        <v>19</v>
      </c>
      <c r="B7" s="10">
        <v>17140</v>
      </c>
      <c r="C7" s="10">
        <v>18170</v>
      </c>
    </row>
    <row r="11" spans="1:3" x14ac:dyDescent="0.35">
      <c r="A11" s="9" t="s">
        <v>18</v>
      </c>
      <c r="B11" s="8" t="s">
        <v>23</v>
      </c>
    </row>
    <row r="12" spans="1:3" x14ac:dyDescent="0.35">
      <c r="A12" s="8" t="s">
        <v>6</v>
      </c>
      <c r="B12" s="10">
        <v>-170</v>
      </c>
    </row>
    <row r="13" spans="1:3" x14ac:dyDescent="0.35">
      <c r="A13" s="8" t="s">
        <v>8</v>
      </c>
      <c r="B13" s="10">
        <v>-160</v>
      </c>
    </row>
    <row r="14" spans="1:3" x14ac:dyDescent="0.35">
      <c r="A14" s="8" t="s">
        <v>10</v>
      </c>
      <c r="B14" s="10">
        <v>-530</v>
      </c>
    </row>
    <row r="15" spans="1:3" x14ac:dyDescent="0.35">
      <c r="A15" s="8" t="s">
        <v>11</v>
      </c>
      <c r="B15" s="10">
        <v>-170</v>
      </c>
    </row>
    <row r="16" spans="1:3" x14ac:dyDescent="0.35">
      <c r="A16" s="8" t="s">
        <v>19</v>
      </c>
      <c r="B16" s="10">
        <v>-1030</v>
      </c>
    </row>
    <row r="18" spans="1:2" x14ac:dyDescent="0.35">
      <c r="A18" s="9" t="s">
        <v>18</v>
      </c>
      <c r="B18" s="8" t="s">
        <v>22</v>
      </c>
    </row>
    <row r="19" spans="1:2" x14ac:dyDescent="0.35">
      <c r="A19" s="8">
        <v>0</v>
      </c>
      <c r="B19" s="10">
        <v>444</v>
      </c>
    </row>
    <row r="20" spans="1:2" x14ac:dyDescent="0.35">
      <c r="A20" s="8">
        <v>1</v>
      </c>
      <c r="B20" s="10">
        <v>771</v>
      </c>
    </row>
    <row r="21" spans="1:2" x14ac:dyDescent="0.35">
      <c r="A21" s="8">
        <v>2</v>
      </c>
      <c r="B21" s="10">
        <v>777</v>
      </c>
    </row>
    <row r="22" spans="1:2" x14ac:dyDescent="0.35">
      <c r="A22" s="8">
        <v>3</v>
      </c>
      <c r="B22" s="10">
        <v>218</v>
      </c>
    </row>
    <row r="23" spans="1:2" x14ac:dyDescent="0.35">
      <c r="A23" s="8" t="s">
        <v>19</v>
      </c>
      <c r="B23" s="10">
        <v>2210</v>
      </c>
    </row>
  </sheetData>
  <pageMargins left="0.7" right="0.7" top="0.75" bottom="0.75" header="0.3" footer="0.3"/>
  <headerFooter>
    <oddFooter>&amp;C_x000D_&amp;1#&amp;"Aptos"&amp;8&amp;K000000  ArcelorMittal proprietary information – all rights reserved for all countries.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C729C5-84DB-4208-9FB8-1FAB7A0B0F58}">
  <dimension ref="A1:I21"/>
  <sheetViews>
    <sheetView workbookViewId="0">
      <selection activeCell="I2" sqref="I2"/>
    </sheetView>
  </sheetViews>
  <sheetFormatPr defaultColWidth="14.90625" defaultRowHeight="14.5" x14ac:dyDescent="0.35"/>
  <cols>
    <col min="7" max="7" width="18.90625" bestFit="1" customWidth="1"/>
  </cols>
  <sheetData>
    <row r="1" spans="1:9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6" t="s">
        <v>16</v>
      </c>
      <c r="H1" s="5" t="s">
        <v>17</v>
      </c>
      <c r="I1" s="11" t="s">
        <v>28</v>
      </c>
    </row>
    <row r="2" spans="1:9" x14ac:dyDescent="0.35">
      <c r="A2" s="3">
        <v>101</v>
      </c>
      <c r="B2" s="3" t="s">
        <v>6</v>
      </c>
      <c r="C2" s="3">
        <v>1000</v>
      </c>
      <c r="D2" s="3">
        <v>950</v>
      </c>
      <c r="E2" s="3">
        <v>2</v>
      </c>
      <c r="F2" s="3" t="s">
        <v>7</v>
      </c>
      <c r="G2" s="4">
        <f>D2-C2</f>
        <v>-50</v>
      </c>
      <c r="H2" s="4" t="str">
        <f>IF(E2=0,"ON TIME","Delayed")</f>
        <v>Delayed</v>
      </c>
      <c r="I2" s="2">
        <f>COUNTA(A2:A21)</f>
        <v>20</v>
      </c>
    </row>
    <row r="3" spans="1:9" x14ac:dyDescent="0.35">
      <c r="A3" s="3">
        <v>102</v>
      </c>
      <c r="B3" s="3" t="s">
        <v>8</v>
      </c>
      <c r="C3" s="3">
        <v>800</v>
      </c>
      <c r="D3" s="3">
        <v>800</v>
      </c>
      <c r="E3" s="3">
        <v>0</v>
      </c>
      <c r="F3" s="3" t="s">
        <v>9</v>
      </c>
      <c r="G3" s="4">
        <f t="shared" ref="G3:G21" si="0">D3-C3</f>
        <v>0</v>
      </c>
      <c r="H3" s="4" t="str">
        <f t="shared" ref="H3:H21" si="1">IF(E3=0,"ON TIME","Delayed")</f>
        <v>ON TIME</v>
      </c>
    </row>
    <row r="4" spans="1:9" x14ac:dyDescent="0.35">
      <c r="A4" s="3">
        <v>103</v>
      </c>
      <c r="B4" s="3" t="s">
        <v>10</v>
      </c>
      <c r="C4" s="3">
        <v>1200</v>
      </c>
      <c r="D4" s="3">
        <v>1000</v>
      </c>
      <c r="E4" s="3">
        <v>3</v>
      </c>
      <c r="F4" s="3" t="s">
        <v>7</v>
      </c>
      <c r="G4" s="4">
        <f t="shared" si="0"/>
        <v>-200</v>
      </c>
      <c r="H4" s="4" t="str">
        <f t="shared" si="1"/>
        <v>Delayed</v>
      </c>
    </row>
    <row r="5" spans="1:9" x14ac:dyDescent="0.35">
      <c r="A5" s="3">
        <v>104</v>
      </c>
      <c r="B5" s="3" t="s">
        <v>11</v>
      </c>
      <c r="C5" s="3">
        <v>600</v>
      </c>
      <c r="D5" s="3">
        <v>580</v>
      </c>
      <c r="E5" s="3">
        <v>1</v>
      </c>
      <c r="F5" s="3" t="s">
        <v>12</v>
      </c>
      <c r="G5" s="4">
        <f t="shared" si="0"/>
        <v>-20</v>
      </c>
      <c r="H5" s="4" t="str">
        <f t="shared" si="1"/>
        <v>Delayed</v>
      </c>
    </row>
    <row r="6" spans="1:9" x14ac:dyDescent="0.35">
      <c r="A6" s="3">
        <v>105</v>
      </c>
      <c r="B6" s="3" t="s">
        <v>6</v>
      </c>
      <c r="C6" s="3">
        <v>900</v>
      </c>
      <c r="D6" s="3">
        <v>870</v>
      </c>
      <c r="E6" s="3">
        <v>1</v>
      </c>
      <c r="F6" s="3" t="s">
        <v>9</v>
      </c>
      <c r="G6" s="4">
        <f t="shared" si="0"/>
        <v>-30</v>
      </c>
      <c r="H6" s="4" t="str">
        <f t="shared" si="1"/>
        <v>Delayed</v>
      </c>
    </row>
    <row r="7" spans="1:9" x14ac:dyDescent="0.35">
      <c r="A7" s="3">
        <v>106</v>
      </c>
      <c r="B7" s="3" t="s">
        <v>8</v>
      </c>
      <c r="C7" s="3">
        <v>750</v>
      </c>
      <c r="D7" s="3">
        <v>700</v>
      </c>
      <c r="E7" s="3">
        <v>2</v>
      </c>
      <c r="F7" s="3" t="s">
        <v>7</v>
      </c>
      <c r="G7" s="4">
        <f t="shared" si="0"/>
        <v>-50</v>
      </c>
      <c r="H7" s="4" t="str">
        <f t="shared" si="1"/>
        <v>Delayed</v>
      </c>
    </row>
    <row r="8" spans="1:9" x14ac:dyDescent="0.35">
      <c r="A8" s="3">
        <v>107</v>
      </c>
      <c r="B8" s="3" t="s">
        <v>10</v>
      </c>
      <c r="C8" s="3">
        <v>1100</v>
      </c>
      <c r="D8" s="3">
        <v>1050</v>
      </c>
      <c r="E8" s="3">
        <v>1</v>
      </c>
      <c r="F8" s="3" t="s">
        <v>12</v>
      </c>
      <c r="G8" s="4">
        <f t="shared" si="0"/>
        <v>-50</v>
      </c>
      <c r="H8" s="4" t="str">
        <f t="shared" si="1"/>
        <v>Delayed</v>
      </c>
    </row>
    <row r="9" spans="1:9" x14ac:dyDescent="0.35">
      <c r="A9" s="3">
        <v>108</v>
      </c>
      <c r="B9" s="3" t="s">
        <v>11</v>
      </c>
      <c r="C9" s="3">
        <v>650</v>
      </c>
      <c r="D9" s="3">
        <v>600</v>
      </c>
      <c r="E9" s="3">
        <v>2</v>
      </c>
      <c r="F9" s="3" t="s">
        <v>9</v>
      </c>
      <c r="G9" s="4">
        <f t="shared" si="0"/>
        <v>-50</v>
      </c>
      <c r="H9" s="4" t="str">
        <f t="shared" si="1"/>
        <v>Delayed</v>
      </c>
    </row>
    <row r="10" spans="1:9" x14ac:dyDescent="0.35">
      <c r="A10" s="3">
        <v>109</v>
      </c>
      <c r="B10" s="3" t="s">
        <v>6</v>
      </c>
      <c r="C10" s="3">
        <v>1000</v>
      </c>
      <c r="D10" s="3">
        <v>980</v>
      </c>
      <c r="E10" s="3">
        <v>0</v>
      </c>
      <c r="F10" s="3" t="s">
        <v>7</v>
      </c>
      <c r="G10" s="4">
        <f t="shared" si="0"/>
        <v>-20</v>
      </c>
      <c r="H10" s="4" t="str">
        <f t="shared" si="1"/>
        <v>ON TIME</v>
      </c>
    </row>
    <row r="11" spans="1:9" x14ac:dyDescent="0.35">
      <c r="A11" s="3">
        <v>110</v>
      </c>
      <c r="B11" s="3" t="s">
        <v>8</v>
      </c>
      <c r="C11" s="3">
        <v>850</v>
      </c>
      <c r="D11" s="3">
        <v>800</v>
      </c>
      <c r="E11" s="3">
        <v>1</v>
      </c>
      <c r="F11" s="3" t="s">
        <v>12</v>
      </c>
      <c r="G11" s="4">
        <f t="shared" si="0"/>
        <v>-50</v>
      </c>
      <c r="H11" s="4" t="str">
        <f t="shared" si="1"/>
        <v>Delayed</v>
      </c>
    </row>
    <row r="12" spans="1:9" x14ac:dyDescent="0.35">
      <c r="A12" s="3">
        <v>111</v>
      </c>
      <c r="B12" s="3" t="s">
        <v>10</v>
      </c>
      <c r="C12" s="3">
        <v>1300</v>
      </c>
      <c r="D12" s="3">
        <v>1200</v>
      </c>
      <c r="E12" s="3">
        <v>2</v>
      </c>
      <c r="F12" s="3" t="s">
        <v>9</v>
      </c>
      <c r="G12" s="4">
        <f t="shared" si="0"/>
        <v>-100</v>
      </c>
      <c r="H12" s="4" t="str">
        <f t="shared" si="1"/>
        <v>Delayed</v>
      </c>
    </row>
    <row r="13" spans="1:9" x14ac:dyDescent="0.35">
      <c r="A13" s="3">
        <v>112</v>
      </c>
      <c r="B13" s="3" t="s">
        <v>11</v>
      </c>
      <c r="C13" s="3">
        <v>700</v>
      </c>
      <c r="D13" s="3">
        <v>650</v>
      </c>
      <c r="E13" s="3">
        <v>2</v>
      </c>
      <c r="F13" s="3" t="s">
        <v>7</v>
      </c>
      <c r="G13" s="4">
        <f t="shared" si="0"/>
        <v>-50</v>
      </c>
      <c r="H13" s="4" t="str">
        <f t="shared" si="1"/>
        <v>Delayed</v>
      </c>
    </row>
    <row r="14" spans="1:9" x14ac:dyDescent="0.35">
      <c r="A14" s="3">
        <v>113</v>
      </c>
      <c r="B14" s="3" t="s">
        <v>6</v>
      </c>
      <c r="C14" s="3">
        <v>950</v>
      </c>
      <c r="D14" s="3">
        <v>900</v>
      </c>
      <c r="E14" s="3">
        <v>1</v>
      </c>
      <c r="F14" s="3" t="s">
        <v>12</v>
      </c>
      <c r="G14" s="4">
        <f t="shared" si="0"/>
        <v>-50</v>
      </c>
      <c r="H14" s="4" t="str">
        <f t="shared" si="1"/>
        <v>Delayed</v>
      </c>
    </row>
    <row r="15" spans="1:9" x14ac:dyDescent="0.35">
      <c r="A15" s="3">
        <v>114</v>
      </c>
      <c r="B15" s="3" t="s">
        <v>8</v>
      </c>
      <c r="C15" s="3">
        <v>780</v>
      </c>
      <c r="D15" s="3">
        <v>750</v>
      </c>
      <c r="E15" s="3">
        <v>1</v>
      </c>
      <c r="F15" s="3" t="s">
        <v>9</v>
      </c>
      <c r="G15" s="4">
        <f t="shared" si="0"/>
        <v>-30</v>
      </c>
      <c r="H15" s="4" t="str">
        <f t="shared" si="1"/>
        <v>Delayed</v>
      </c>
    </row>
    <row r="16" spans="1:9" x14ac:dyDescent="0.35">
      <c r="A16" s="3">
        <v>115</v>
      </c>
      <c r="B16" s="3" t="s">
        <v>10</v>
      </c>
      <c r="C16" s="3">
        <v>1250</v>
      </c>
      <c r="D16" s="3">
        <v>1150</v>
      </c>
      <c r="E16" s="3">
        <v>3</v>
      </c>
      <c r="F16" s="3" t="s">
        <v>7</v>
      </c>
      <c r="G16" s="4">
        <f t="shared" si="0"/>
        <v>-100</v>
      </c>
      <c r="H16" s="4" t="str">
        <f t="shared" si="1"/>
        <v>Delayed</v>
      </c>
    </row>
    <row r="17" spans="1:8" x14ac:dyDescent="0.35">
      <c r="A17" s="3">
        <v>116</v>
      </c>
      <c r="B17" s="3" t="s">
        <v>11</v>
      </c>
      <c r="C17" s="3">
        <v>680</v>
      </c>
      <c r="D17" s="3">
        <v>670</v>
      </c>
      <c r="E17" s="3">
        <v>0</v>
      </c>
      <c r="F17" s="3" t="s">
        <v>12</v>
      </c>
      <c r="G17" s="4">
        <f t="shared" si="0"/>
        <v>-10</v>
      </c>
      <c r="H17" s="4" t="str">
        <f t="shared" si="1"/>
        <v>ON TIME</v>
      </c>
    </row>
    <row r="18" spans="1:8" x14ac:dyDescent="0.35">
      <c r="A18" s="3">
        <v>117</v>
      </c>
      <c r="B18" s="3" t="s">
        <v>6</v>
      </c>
      <c r="C18" s="3">
        <v>1020</v>
      </c>
      <c r="D18" s="3">
        <v>1000</v>
      </c>
      <c r="E18" s="3">
        <v>0</v>
      </c>
      <c r="F18" s="3" t="s">
        <v>9</v>
      </c>
      <c r="G18" s="4">
        <f t="shared" si="0"/>
        <v>-20</v>
      </c>
      <c r="H18" s="4" t="str">
        <f t="shared" si="1"/>
        <v>ON TIME</v>
      </c>
    </row>
    <row r="19" spans="1:8" x14ac:dyDescent="0.35">
      <c r="A19" s="3">
        <v>118</v>
      </c>
      <c r="B19" s="3" t="s">
        <v>8</v>
      </c>
      <c r="C19" s="3">
        <v>820</v>
      </c>
      <c r="D19" s="3">
        <v>790</v>
      </c>
      <c r="E19" s="3">
        <v>1</v>
      </c>
      <c r="F19" s="3" t="s">
        <v>7</v>
      </c>
      <c r="G19" s="4">
        <f t="shared" si="0"/>
        <v>-30</v>
      </c>
      <c r="H19" s="4" t="str">
        <f t="shared" si="1"/>
        <v>Delayed</v>
      </c>
    </row>
    <row r="20" spans="1:8" x14ac:dyDescent="0.35">
      <c r="A20" s="3">
        <v>119</v>
      </c>
      <c r="B20" s="3" t="s">
        <v>10</v>
      </c>
      <c r="C20" s="3">
        <v>1180</v>
      </c>
      <c r="D20" s="3">
        <v>1100</v>
      </c>
      <c r="E20" s="3">
        <v>2</v>
      </c>
      <c r="F20" s="3" t="s">
        <v>12</v>
      </c>
      <c r="G20" s="4">
        <f t="shared" si="0"/>
        <v>-80</v>
      </c>
      <c r="H20" s="4" t="str">
        <f t="shared" si="1"/>
        <v>Delayed</v>
      </c>
    </row>
    <row r="21" spans="1:8" x14ac:dyDescent="0.35">
      <c r="A21" s="3">
        <v>120</v>
      </c>
      <c r="B21" s="3" t="s">
        <v>11</v>
      </c>
      <c r="C21" s="3">
        <v>640</v>
      </c>
      <c r="D21" s="3">
        <v>600</v>
      </c>
      <c r="E21" s="3">
        <v>2</v>
      </c>
      <c r="F21" s="3" t="s">
        <v>9</v>
      </c>
      <c r="G21" s="4">
        <f t="shared" si="0"/>
        <v>-40</v>
      </c>
      <c r="H21" s="4" t="str">
        <f t="shared" si="1"/>
        <v>Delayed</v>
      </c>
    </row>
  </sheetData>
  <pageMargins left="0.7" right="0.7" top="0.75" bottom="0.75" header="0.3" footer="0.3"/>
  <headerFooter>
    <oddFooter>&amp;C_x000D_&amp;1#&amp;"Aptos"&amp;8&amp;K000000  ArcelorMittal proprietary information – all rights reserved for all countries.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1A862F-8F8A-4220-B9A5-020176F25AAA}">
  <dimension ref="A1:D5"/>
  <sheetViews>
    <sheetView workbookViewId="0">
      <selection activeCell="C13" sqref="C13"/>
    </sheetView>
  </sheetViews>
  <sheetFormatPr defaultColWidth="12.08984375" defaultRowHeight="14.5" x14ac:dyDescent="0.35"/>
  <cols>
    <col min="1" max="16384" width="12.08984375" style="7"/>
  </cols>
  <sheetData>
    <row r="1" spans="1:4" x14ac:dyDescent="0.35">
      <c r="A1" s="1" t="s">
        <v>1</v>
      </c>
      <c r="B1" s="1" t="s">
        <v>13</v>
      </c>
      <c r="C1" s="1" t="s">
        <v>14</v>
      </c>
      <c r="D1" s="1" t="s">
        <v>15</v>
      </c>
    </row>
    <row r="2" spans="1:4" x14ac:dyDescent="0.35">
      <c r="A2" s="3" t="s">
        <v>6</v>
      </c>
      <c r="B2" s="3">
        <v>500</v>
      </c>
      <c r="C2" s="3">
        <v>300</v>
      </c>
      <c r="D2" s="3">
        <v>1000</v>
      </c>
    </row>
    <row r="3" spans="1:4" x14ac:dyDescent="0.35">
      <c r="A3" s="3" t="s">
        <v>8</v>
      </c>
      <c r="B3" s="3">
        <v>200</v>
      </c>
      <c r="C3" s="3">
        <v>250</v>
      </c>
      <c r="D3" s="3">
        <v>800</v>
      </c>
    </row>
    <row r="4" spans="1:4" x14ac:dyDescent="0.35">
      <c r="A4" s="3" t="s">
        <v>10</v>
      </c>
      <c r="B4" s="3">
        <v>900</v>
      </c>
      <c r="C4" s="3">
        <v>400</v>
      </c>
      <c r="D4" s="3">
        <v>1200</v>
      </c>
    </row>
    <row r="5" spans="1:4" x14ac:dyDescent="0.35">
      <c r="A5" s="3" t="s">
        <v>11</v>
      </c>
      <c r="B5" s="3">
        <v>300</v>
      </c>
      <c r="C5" s="3">
        <v>200</v>
      </c>
      <c r="D5" s="3">
        <v>700</v>
      </c>
    </row>
  </sheetData>
  <pageMargins left="0.7" right="0.7" top="0.75" bottom="0.75" header="0.3" footer="0.3"/>
  <headerFooter>
    <oddFooter>&amp;C_x000D_&amp;1#&amp;"Aptos"&amp;8&amp;K000000  ArcelorMittal proprietary information – all rights reserved for all countries.</oddFooter>
  </headerFooter>
</worksheet>
</file>

<file path=docMetadata/LabelInfo.xml><?xml version="1.0" encoding="utf-8"?>
<clbl:labelList xmlns:clbl="http://schemas.microsoft.com/office/2020/mipLabelMetadata">
  <clbl:label id="{df51f048-204e-4ea4-a812-f73ab854ff43}" enabled="1" method="Privileged" siteId="{37cd273a-1cec-4aae-a297-41480ea54f8d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Dashboard</vt:lpstr>
      <vt:lpstr>pivot-table</vt:lpstr>
      <vt:lpstr>production-data</vt:lpstr>
      <vt:lpstr>Inventory_Data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Sachan, Abhishek - AM/NS India - CSP Mill Oper (HAZ)</dc:creator>
  <cp:lastModifiedBy>Sachan, Abhishek - AM/NS India - CSP Mill Oper (HAZ)</cp:lastModifiedBy>
  <dcterms:created xsi:type="dcterms:W3CDTF">2026-03-29T18:07:08Z</dcterms:created>
  <dcterms:modified xsi:type="dcterms:W3CDTF">2026-03-29T18:53:35Z</dcterms:modified>
</cp:coreProperties>
</file>